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<sst xmlns="http://schemas.openxmlformats.org/spreadsheetml/2006/main" count="76" uniqueCount="55">
  <si>
    <t>Name (serial 31-TP20602A south)</t>
  </si>
  <si>
    <t>ManualFigure2 letter</t>
  </si>
  <si>
    <t>Dimension (mm)</t>
  </si>
  <si>
    <t>Dimension (cm)</t>
  </si>
  <si>
    <t>ValueUsed (cm)</t>
  </si>
  <si>
    <t>Explanation</t>
  </si>
  <si>
    <t>AluminumHousing_OuterDiameter</t>
  </si>
  <si>
    <t>EdwardsUW_measured</t>
  </si>
  <si>
    <t>AluminumHousing_OuterRadius</t>
  </si>
  <si>
    <t>AluminumHousingWall_Thickness</t>
  </si>
  <si>
    <t>I</t>
  </si>
  <si>
    <t>manual</t>
  </si>
  <si>
    <t>AluminumEndCap_Thickness</t>
  </si>
  <si>
    <t>D</t>
  </si>
  <si>
    <t>Distance_EndCapToCrystal</t>
  </si>
  <si>
    <t>B</t>
  </si>
  <si>
    <t>Crystal_Length</t>
  </si>
  <si>
    <t>Crystal_Diameter</t>
  </si>
  <si>
    <t>Crystal_Radius</t>
  </si>
  <si>
    <t>CrystalInsulator_Thickness</t>
  </si>
  <si>
    <t>E (mylar)</t>
  </si>
  <si>
    <t>CrystalShield_Thickness</t>
  </si>
  <si>
    <t>E (aluminized mylar)</t>
  </si>
  <si>
    <t>CrystalHolderWall_Thickness</t>
  </si>
  <si>
    <t>H</t>
  </si>
  <si>
    <t>CrystalHolder_Total_Length</t>
  </si>
  <si>
    <t>A</t>
  </si>
  <si>
    <t>CrystalHolderBase_Thickness</t>
  </si>
  <si>
    <t>C</t>
  </si>
  <si>
    <t>CrystalHolderWall_Length</t>
  </si>
  <si>
    <t>(A-C)</t>
  </si>
  <si>
    <t>manual (A-C)</t>
  </si>
  <si>
    <t>CrystalHolderGap_Length</t>
  </si>
  <si>
    <t>(A-C-Crystal_Length)</t>
  </si>
  <si>
    <t>manual (A-C-Crystal_Length)</t>
  </si>
  <si>
    <t>Bulletizing_Radius</t>
  </si>
  <si>
    <t>J</t>
  </si>
  <si>
    <t>Carson2010_measured</t>
  </si>
  <si>
    <t>CentralHole_Diameter</t>
  </si>
  <si>
    <t>CentralHole_Radius</t>
  </si>
  <si>
    <t>CentralHole_Length</t>
  </si>
  <si>
    <t>CentralHole_BottomRadius</t>
  </si>
  <si>
    <t>guess</t>
  </si>
  <si>
    <t>Crystal_VerticalDisplacement</t>
  </si>
  <si>
    <t>ContactPin_Diameter</t>
  </si>
  <si>
    <t>ContactPin_Radius</t>
  </si>
  <si>
    <t>OutsideContactLayer_Thickness(dead)</t>
  </si>
  <si>
    <t>F (Ge? lithium?)</t>
  </si>
  <si>
    <t>BaseContactLayer_Thickness</t>
  </si>
  <si>
    <t>FrontContactLayer_Thickness(dead)</t>
  </si>
  <si>
    <t>HoleContactLayer_Thickness(dead)</t>
  </si>
  <si>
    <t>G (boron?)</t>
  </si>
  <si>
    <t>PlasticCover_Thickness</t>
  </si>
  <si>
    <t>not present</t>
  </si>
  <si>
    <t>BerylliumWindow_Thickness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</si>
</sst>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"/>
  </numFmts>
  <fonts count="4">
    <font>
      <sz val="10.0"/>
      <color rgb="FF000000"/>
      <name val="Arial"/>
      <scheme val="minor"/>
    </font>
    <font>
      <color rgb="FF000000"/>
      <name val="Arial"/>
    </font>
    <font>
      <color theme="1"/>
      <name val="Arial"/>
      <scheme val="minor"/>
    </font>
    <font>
      <color rgb="FF000000"/>
      <name val="Monospace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ont="1">
      <alignment readingOrder="0"/>
    </xf>
    <xf borderId="0" fillId="0" fontId="2" numFmtId="2" xfId="0" applyFont="1" applyNumberFormat="1"/>
    <xf borderId="0" fillId="0" fontId="2" numFmtId="2" xfId="0" applyAlignment="1" applyFont="1" applyNumberFormat="1">
      <alignment readingOrder="0"/>
    </xf>
    <xf borderId="0" fillId="0" fontId="2" numFmtId="164" xfId="0" applyFont="1" applyNumberFormat="1"/>
    <xf borderId="0" fillId="0" fontId="2" numFmtId="165" xfId="0" applyAlignment="1" applyFont="1" applyNumberFormat="1">
      <alignment readingOrder="0"/>
    </xf>
    <xf borderId="0" fillId="0" fontId="2" numFmtId="165" xfId="0" applyFont="1" applyNumberFormat="1"/>
    <xf borderId="0" fillId="0" fontId="2" numFmtId="11" xfId="0" applyAlignment="1" applyFont="1" applyNumberFormat="1">
      <alignment readingOrder="0"/>
    </xf>
    <xf borderId="0" fillId="0" fontId="2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16.13"/>
    <col customWidth="1" min="3" max="3" width="14.13"/>
    <col customWidth="1" min="6" max="6" width="20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4"/>
      <c r="C2" s="5">
        <v>82.58</v>
      </c>
      <c r="D2" s="6">
        <f t="shared" ref="D2:D30" si="1">C2/10</f>
        <v>8.258</v>
      </c>
      <c r="E2" s="7">
        <v>8.258</v>
      </c>
      <c r="F2" s="2" t="s">
        <v>7</v>
      </c>
    </row>
    <row r="3">
      <c r="A3" s="1" t="s">
        <v>8</v>
      </c>
      <c r="B3" s="4"/>
      <c r="C3" s="5">
        <v>41.29</v>
      </c>
      <c r="D3" s="6">
        <f t="shared" si="1"/>
        <v>4.129</v>
      </c>
      <c r="E3" s="7">
        <v>4.129</v>
      </c>
      <c r="F3" s="2" t="s">
        <v>7</v>
      </c>
    </row>
    <row r="4">
      <c r="A4" s="1" t="s">
        <v>9</v>
      </c>
      <c r="B4" s="5" t="s">
        <v>10</v>
      </c>
      <c r="C4" s="5">
        <v>1.3</v>
      </c>
      <c r="D4" s="6">
        <f t="shared" si="1"/>
        <v>0.13</v>
      </c>
      <c r="E4" s="7">
        <v>0.13</v>
      </c>
      <c r="F4" s="2" t="s">
        <v>11</v>
      </c>
    </row>
    <row r="5">
      <c r="A5" s="1" t="s">
        <v>12</v>
      </c>
      <c r="B5" s="5" t="s">
        <v>13</v>
      </c>
      <c r="C5" s="5">
        <v>1.0</v>
      </c>
      <c r="D5" s="6">
        <f t="shared" si="1"/>
        <v>0.1</v>
      </c>
      <c r="E5" s="7">
        <v>0.1</v>
      </c>
      <c r="F5" s="2" t="s">
        <v>11</v>
      </c>
    </row>
    <row r="6">
      <c r="A6" s="1" t="s">
        <v>14</v>
      </c>
      <c r="B6" s="5" t="s">
        <v>15</v>
      </c>
      <c r="C6" s="5">
        <v>4.0</v>
      </c>
      <c r="D6" s="6">
        <f t="shared" si="1"/>
        <v>0.4</v>
      </c>
      <c r="E6" s="7">
        <v>0.4</v>
      </c>
      <c r="F6" s="2" t="s">
        <v>11</v>
      </c>
    </row>
    <row r="7">
      <c r="A7" s="3" t="s">
        <v>16</v>
      </c>
      <c r="B7" s="5"/>
      <c r="C7" s="5">
        <v>64.5</v>
      </c>
      <c r="D7" s="6">
        <f t="shared" si="1"/>
        <v>6.45</v>
      </c>
      <c r="E7" s="7">
        <v>6.45</v>
      </c>
      <c r="F7" s="2" t="s">
        <v>11</v>
      </c>
    </row>
    <row r="8">
      <c r="A8" s="3" t="s">
        <v>17</v>
      </c>
      <c r="B8" s="5"/>
      <c r="C8" s="5">
        <v>60.0</v>
      </c>
      <c r="D8" s="6">
        <f t="shared" si="1"/>
        <v>6</v>
      </c>
      <c r="E8" s="7">
        <v>6.0</v>
      </c>
      <c r="F8" s="2" t="s">
        <v>11</v>
      </c>
    </row>
    <row r="9">
      <c r="A9" s="1" t="s">
        <v>18</v>
      </c>
      <c r="B9" s="5"/>
      <c r="C9" s="5">
        <v>30.0</v>
      </c>
      <c r="D9" s="6">
        <f t="shared" si="1"/>
        <v>3</v>
      </c>
      <c r="E9" s="7">
        <v>3.0</v>
      </c>
      <c r="F9" s="2" t="s">
        <v>11</v>
      </c>
    </row>
    <row r="10">
      <c r="A10" s="1" t="s">
        <v>19</v>
      </c>
      <c r="B10" s="5" t="s">
        <v>20</v>
      </c>
      <c r="C10" s="5">
        <v>0.03</v>
      </c>
      <c r="D10" s="6">
        <f t="shared" si="1"/>
        <v>0.003</v>
      </c>
      <c r="E10" s="7">
        <v>0.003</v>
      </c>
      <c r="F10" s="2" t="s">
        <v>11</v>
      </c>
    </row>
    <row r="11">
      <c r="A11" s="1" t="s">
        <v>21</v>
      </c>
      <c r="B11" s="5" t="s">
        <v>22</v>
      </c>
      <c r="C11" s="5">
        <v>0.03</v>
      </c>
      <c r="D11" s="6">
        <f t="shared" si="1"/>
        <v>0.003</v>
      </c>
      <c r="E11" s="8"/>
      <c r="F11" s="2" t="s">
        <v>11</v>
      </c>
    </row>
    <row r="12">
      <c r="A12" s="1" t="s">
        <v>23</v>
      </c>
      <c r="B12" s="5" t="s">
        <v>24</v>
      </c>
      <c r="C12" s="5">
        <v>0.76</v>
      </c>
      <c r="D12" s="6">
        <f t="shared" si="1"/>
        <v>0.076</v>
      </c>
      <c r="E12" s="7">
        <v>0.076</v>
      </c>
      <c r="F12" s="2" t="s">
        <v>11</v>
      </c>
    </row>
    <row r="13">
      <c r="A13" s="1" t="s">
        <v>25</v>
      </c>
      <c r="B13" s="5" t="s">
        <v>26</v>
      </c>
      <c r="C13" s="5">
        <v>105.0</v>
      </c>
      <c r="D13" s="6">
        <f t="shared" si="1"/>
        <v>10.5</v>
      </c>
      <c r="E13" s="7"/>
      <c r="F13" s="2" t="s">
        <v>11</v>
      </c>
    </row>
    <row r="14">
      <c r="A14" s="1" t="s">
        <v>27</v>
      </c>
      <c r="B14" s="5" t="s">
        <v>28</v>
      </c>
      <c r="C14" s="5">
        <v>3.2</v>
      </c>
      <c r="D14" s="6">
        <f t="shared" si="1"/>
        <v>0.32</v>
      </c>
      <c r="E14" s="7">
        <v>0.32</v>
      </c>
      <c r="F14" s="2" t="s">
        <v>11</v>
      </c>
    </row>
    <row r="15">
      <c r="A15" s="1" t="s">
        <v>29</v>
      </c>
      <c r="B15" s="5" t="s">
        <v>30</v>
      </c>
      <c r="C15" s="5">
        <v>101.8</v>
      </c>
      <c r="D15" s="6">
        <f t="shared" si="1"/>
        <v>10.18</v>
      </c>
      <c r="E15" s="7"/>
      <c r="F15" s="2" t="s">
        <v>31</v>
      </c>
    </row>
    <row r="16">
      <c r="A16" s="1" t="s">
        <v>32</v>
      </c>
      <c r="B16" s="5" t="s">
        <v>33</v>
      </c>
      <c r="C16" s="5">
        <v>37.3</v>
      </c>
      <c r="D16" s="6">
        <f t="shared" si="1"/>
        <v>3.73</v>
      </c>
      <c r="E16" s="7"/>
      <c r="F16" s="2" t="s">
        <v>34</v>
      </c>
    </row>
    <row r="17">
      <c r="A17" s="3" t="s">
        <v>35</v>
      </c>
      <c r="B17" s="5" t="s">
        <v>36</v>
      </c>
      <c r="C17" s="5">
        <v>8.0</v>
      </c>
      <c r="D17" s="6">
        <f t="shared" si="1"/>
        <v>0.8</v>
      </c>
      <c r="E17" s="7">
        <v>0.71</v>
      </c>
      <c r="F17" s="2" t="s">
        <v>37</v>
      </c>
    </row>
    <row r="18">
      <c r="A18" s="3" t="s">
        <v>38</v>
      </c>
      <c r="B18" s="5"/>
      <c r="C18" s="5">
        <v>9.2</v>
      </c>
      <c r="D18" s="6">
        <f t="shared" si="1"/>
        <v>0.92</v>
      </c>
      <c r="E18" s="7">
        <v>0.92</v>
      </c>
      <c r="F18" s="2" t="s">
        <v>11</v>
      </c>
    </row>
    <row r="19">
      <c r="A19" s="1" t="s">
        <v>39</v>
      </c>
      <c r="B19" s="5"/>
      <c r="C19" s="5">
        <v>4.6</v>
      </c>
      <c r="D19" s="6">
        <f t="shared" si="1"/>
        <v>0.46</v>
      </c>
      <c r="E19" s="7">
        <v>0.46</v>
      </c>
      <c r="F19" s="2" t="s">
        <v>11</v>
      </c>
    </row>
    <row r="20">
      <c r="A20" s="3" t="s">
        <v>40</v>
      </c>
      <c r="B20" s="5"/>
      <c r="C20" s="5">
        <v>50.6</v>
      </c>
      <c r="D20" s="6">
        <f t="shared" si="1"/>
        <v>5.06</v>
      </c>
      <c r="E20" s="7">
        <v>5.06</v>
      </c>
      <c r="F20" s="2" t="s">
        <v>11</v>
      </c>
    </row>
    <row r="21">
      <c r="A21" s="3" t="s">
        <v>41</v>
      </c>
      <c r="B21" s="5"/>
      <c r="C21" s="5">
        <v>8.0</v>
      </c>
      <c r="D21" s="6">
        <f t="shared" si="1"/>
        <v>0.8</v>
      </c>
      <c r="E21" s="7">
        <v>0.5</v>
      </c>
      <c r="F21" s="2" t="s">
        <v>42</v>
      </c>
    </row>
    <row r="22">
      <c r="A22" s="3" t="s">
        <v>43</v>
      </c>
      <c r="B22" s="4"/>
      <c r="C22" s="4"/>
      <c r="D22" s="6">
        <f t="shared" si="1"/>
        <v>0</v>
      </c>
      <c r="E22" s="8"/>
    </row>
    <row r="23">
      <c r="A23" s="3" t="s">
        <v>44</v>
      </c>
      <c r="B23" s="4"/>
      <c r="C23" s="4"/>
      <c r="D23" s="6">
        <f t="shared" si="1"/>
        <v>0</v>
      </c>
      <c r="E23" s="7">
        <v>0.69</v>
      </c>
      <c r="F23" s="2" t="s">
        <v>37</v>
      </c>
    </row>
    <row r="24">
      <c r="A24" s="1" t="s">
        <v>45</v>
      </c>
      <c r="B24" s="4"/>
      <c r="C24" s="4"/>
      <c r="D24" s="6">
        <f t="shared" si="1"/>
        <v>0</v>
      </c>
      <c r="E24" s="7">
        <v>0.345</v>
      </c>
      <c r="F24" s="2" t="s">
        <v>37</v>
      </c>
    </row>
    <row r="25">
      <c r="A25" s="1" t="s">
        <v>46</v>
      </c>
      <c r="B25" s="5" t="s">
        <v>47</v>
      </c>
      <c r="C25" s="5">
        <v>0.7</v>
      </c>
      <c r="D25" s="6">
        <f t="shared" si="1"/>
        <v>0.07</v>
      </c>
      <c r="E25" s="7">
        <v>0.07</v>
      </c>
      <c r="F25" s="2" t="s">
        <v>11</v>
      </c>
    </row>
    <row r="26">
      <c r="A26" s="1" t="s">
        <v>48</v>
      </c>
      <c r="B26" s="5"/>
      <c r="C26" s="5"/>
      <c r="D26" s="6">
        <f t="shared" si="1"/>
        <v>0</v>
      </c>
      <c r="E26" s="7">
        <v>0.07</v>
      </c>
      <c r="F26" s="2" t="s">
        <v>42</v>
      </c>
    </row>
    <row r="27">
      <c r="A27" s="1" t="s">
        <v>49</v>
      </c>
      <c r="B27" s="5"/>
      <c r="C27" s="5"/>
      <c r="D27" s="6">
        <f t="shared" si="1"/>
        <v>0</v>
      </c>
      <c r="E27" s="7">
        <v>0.07</v>
      </c>
      <c r="F27" s="2" t="s">
        <v>42</v>
      </c>
    </row>
    <row r="28">
      <c r="A28" s="1" t="s">
        <v>50</v>
      </c>
      <c r="B28" s="5" t="s">
        <v>51</v>
      </c>
      <c r="C28" s="9">
        <v>3.0E-4</v>
      </c>
      <c r="D28" s="6">
        <f t="shared" si="1"/>
        <v>0.00003</v>
      </c>
      <c r="E28" s="10"/>
      <c r="F28" s="2" t="s">
        <v>11</v>
      </c>
    </row>
    <row r="29">
      <c r="A29" s="3" t="s">
        <v>52</v>
      </c>
      <c r="B29" s="4"/>
      <c r="C29" s="4"/>
      <c r="D29" s="6">
        <f t="shared" si="1"/>
        <v>0</v>
      </c>
      <c r="E29" s="8"/>
      <c r="F29" s="2" t="s">
        <v>53</v>
      </c>
    </row>
    <row r="30">
      <c r="A30" s="3" t="s">
        <v>54</v>
      </c>
      <c r="B30" s="4"/>
      <c r="C30" s="4"/>
      <c r="D30" s="6">
        <f t="shared" si="1"/>
        <v>0</v>
      </c>
      <c r="E30" s="8"/>
      <c r="F30" s="2" t="s">
        <v>53</v>
      </c>
    </row>
  </sheetData>
  <drawing r:id="rId1"/>
</worksheet>
</file>